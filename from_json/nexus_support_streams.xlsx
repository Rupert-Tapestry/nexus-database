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ter columns" sheetId="1" state="visible" r:id="rId3"/>
    <sheet name="All columns" sheetId="2" state="visible" r:id="rId4"/>
    <sheet name="Source tables" sheetId="3" state="visible" r:id="rId5"/>
    <sheet name="Notes" sheetId="4" state="visible" r:id="rId6"/>
  </sheets>
  <definedNames>
    <definedName function="false" hidden="true" localSheetId="1" name="_xlnm._FilterDatabase" vbProcedure="false">'All columns'!$A$4:$H$20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<sst xmlns="http://schemas.openxmlformats.org/spreadsheetml/2006/main" count="252" uniqueCount="140">
  <si>
    <t xml:space="preserve">nexus_support_streams: the four logical foreign key columns</t>
  </si>
  <si>
    <t xml:space="preserve">Saved support-desk filters ("streams"). Each column lists IDs that narrow which requests a stream shows. Source: schema.json (column types and comments verbatim).</t>
  </si>
  <si>
    <t xml:space="preserve">Column</t>
  </si>
  <si>
    <t xml:space="preserve">Type</t>
  </si>
  <si>
    <t xml:space="preserve">Nullable</t>
  </si>
  <si>
    <t xml:space="preserve">What it filters</t>
  </si>
  <si>
    <t xml:space="preserve">Source table</t>
  </si>
  <si>
    <t xml:space="preserve">Source key</t>
  </si>
  <si>
    <t xml:space="preserve">Where the source is defined</t>
  </si>
  <si>
    <t xml:space="preserve">Format</t>
  </si>
  <si>
    <t xml:space="preserve">Meaning of NULL</t>
  </si>
  <si>
    <t xml:space="preserve">Schema comment (verbatim)</t>
  </si>
  <si>
    <t xml:space="preserve">Why it is a logical, not a real, foreign key</t>
  </si>
  <si>
    <t xml:space="preserve">stream_departments</t>
  </si>
  <si>
    <t xml:space="preserve">TEXT</t>
  </si>
  <si>
    <t xml:space="preserve">YES</t>
  </si>
  <si>
    <t xml:space="preserve">Which departments the stream shows requests from</t>
  </si>
  <si>
    <t xml:space="preserve">nexus_support_departments</t>
  </si>
  <si>
    <t xml:space="preserve">dpt_id</t>
  </si>
  <si>
    <t xml:space="preserve">This schema</t>
  </si>
  <si>
    <t xml:space="preserve">Comma-delimited list of IDs</t>
  </si>
  <si>
    <t xml:space="preserve">NULL = all (no restriction)</t>
  </si>
  <si>
    <t xml:space="preserve">Comma-delimited list of department IDs or NULL for all</t>
  </si>
  <si>
    <t xml:space="preserve">Text list, so the database cannot enforce the IDs: deleted IDs can linger. Drawn dashed.</t>
  </si>
  <si>
    <t xml:space="preserve">stream_statuses</t>
  </si>
  <si>
    <t xml:space="preserve">Which request statuses the stream shows</t>
  </si>
  <si>
    <t xml:space="preserve">nexus_support_statuses</t>
  </si>
  <si>
    <t xml:space="preserve">status_id</t>
  </si>
  <si>
    <t xml:space="preserve">Comma-delimited list of status IDs or NULL for all</t>
  </si>
  <si>
    <t xml:space="preserve">stream_severities</t>
  </si>
  <si>
    <t xml:space="preserve">Which severities the stream shows</t>
  </si>
  <si>
    <t xml:space="preserve">nexus_support_severities</t>
  </si>
  <si>
    <t xml:space="preserve">sev_id</t>
  </si>
  <si>
    <t xml:space="preserve">Comma-delimited list of severity IDs or NULL for all</t>
  </si>
  <si>
    <t xml:space="preserve">stream_staff</t>
  </si>
  <si>
    <t xml:space="preserve">Which staff members the stream filters on</t>
  </si>
  <si>
    <t xml:space="preserve">core_members</t>
  </si>
  <si>
    <t xml:space="preserve">member_id</t>
  </si>
  <si>
    <t xml:space="preserve">Invision core (external stub, not in schema.json)</t>
  </si>
  <si>
    <t xml:space="preserve">Comma-delimited list of staff IDs or NULL for all</t>
  </si>
  <si>
    <t xml:space="preserve">Note: the data values live in other database tables, not in a separate file. The schema file holds structure only.</t>
  </si>
  <si>
    <t xml:space="preserve">nexus_support_streams: every column and its role</t>
  </si>
  <si>
    <t xml:space="preserve">Role is my classification from column names and schema comments. Types, nullability, defaults and comments come from schema.json.</t>
  </si>
  <si>
    <t xml:space="preserve">Role</t>
  </si>
  <si>
    <t xml:space="preserve">Default</t>
  </si>
  <si>
    <t xml:space="preserve">References</t>
  </si>
  <si>
    <t xml:space="preserve">Notes</t>
  </si>
  <si>
    <t xml:space="preserve">stream_id</t>
  </si>
  <si>
    <t xml:space="preserve">BIGINT(20)</t>
  </si>
  <si>
    <t xml:space="preserve">Key</t>
  </si>
  <si>
    <t xml:space="preserve">NO</t>
  </si>
  <si>
    <t xml:space="preserve">AUTO_INCREMENT</t>
  </si>
  <si>
    <t xml:space="preserve">Primary key</t>
  </si>
  <si>
    <t xml:space="preserve">ID Number</t>
  </si>
  <si>
    <t xml:space="preserve">Filter: ID list</t>
  </si>
  <si>
    <t xml:space="preserve">NULL</t>
  </si>
  <si>
    <t xml:space="preserve">nexus_support_departments.dpt_id (logical)</t>
  </si>
  <si>
    <t xml:space="preserve">nexus_support_statuses.status_id (logical)</t>
  </si>
  <si>
    <t xml:space="preserve">nexus_support_severities.sev_id (logical)</t>
  </si>
  <si>
    <t xml:space="preserve">core_members.member_id (logical, external)</t>
  </si>
  <si>
    <t xml:space="preserve">stream_from_email</t>
  </si>
  <si>
    <t xml:space="preserve">VARCHAR(255)</t>
  </si>
  <si>
    <t xml:space="preserve">Filter: text</t>
  </si>
  <si>
    <t xml:space="preserve">None</t>
  </si>
  <si>
    <t xml:space="preserve">From email address, or NULL for any</t>
  </si>
  <si>
    <t xml:space="preserve">Plain text match on the sender address.</t>
  </si>
  <si>
    <t xml:space="preserve">stream_search_term</t>
  </si>
  <si>
    <t xml:space="preserve">Search term, or NULL for none</t>
  </si>
  <si>
    <t xml:space="preserve">Plain text search term.</t>
  </si>
  <si>
    <t xml:space="preserve">stream_started</t>
  </si>
  <si>
    <t xml:space="preserve">VARCHAR(64)</t>
  </si>
  <si>
    <t xml:space="preserve">Filter: JSON</t>
  </si>
  <si>
    <t xml:space="preserve">JSON array of number of hours to restrict started time to and sort direction, or NULL for no restriction</t>
  </si>
  <si>
    <t xml:space="preserve">Hours window plus sort direction, per the comment.</t>
  </si>
  <si>
    <t xml:space="preserve">stream_last_reply</t>
  </si>
  <si>
    <t xml:space="preserve">JSON array of number of hours to restrict last reply time to and sort direction, or NULL for no restriction</t>
  </si>
  <si>
    <t xml:space="preserve">stream_last_staff_reply</t>
  </si>
  <si>
    <t xml:space="preserve">JSON array of number of hours to restrict last staff reply time to and sort direction, or NULL for no restriction</t>
  </si>
  <si>
    <t xml:space="preserve">stream_owner</t>
  </si>
  <si>
    <t xml:space="preserve">Ownership</t>
  </si>
  <si>
    <t xml:space="preserve">0</t>
  </si>
  <si>
    <t xml:space="preserve">core_members.member_id (real single-value reference, external)</t>
  </si>
  <si>
    <t xml:space="preserve">The ID number of the staff member who owns the stream</t>
  </si>
  <si>
    <t xml:space="preserve">Staff member who owns the stream; default 0 means no owner.</t>
  </si>
  <si>
    <t xml:space="preserve">stream_position</t>
  </si>
  <si>
    <t xml:space="preserve">INT(10)</t>
  </si>
  <si>
    <t xml:space="preserve">Display</t>
  </si>
  <si>
    <t xml:space="preserve">Order in staff members streams</t>
  </si>
  <si>
    <t xml:space="preserve">Order in the owner's list of streams.</t>
  </si>
  <si>
    <t xml:space="preserve">stream_last_new_reply</t>
  </si>
  <si>
    <t xml:space="preserve">JSON array of number of hours to restrict reopened time to and sort direction, or NULL for no restriction</t>
  </si>
  <si>
    <t xml:space="preserve">Hours window plus sort direction (reopened time), per the comment.</t>
  </si>
  <si>
    <t xml:space="preserve">stream_tracked</t>
  </si>
  <si>
    <t xml:space="preserve">TINYINT(1)</t>
  </si>
  <si>
    <t xml:space="preserve">Filter: flag</t>
  </si>
  <si>
    <t xml:space="preserve">None (relates to nexus_support_tracker)</t>
  </si>
  <si>
    <t xml:space="preserve">Boolean value indicating if only tracked requests should be included</t>
  </si>
  <si>
    <t xml:space="preserve">Yes/no: only requests the owner tracks. The link to nexus_support_tracker is my inference from the comment.</t>
  </si>
  <si>
    <t xml:space="preserve">stream_title</t>
  </si>
  <si>
    <t xml:space="preserve">''</t>
  </si>
  <si>
    <t xml:space="preserve">The name of the stream</t>
  </si>
  <si>
    <t xml:space="preserve">Name of the stream.</t>
  </si>
  <si>
    <t xml:space="preserve">stream_temporary</t>
  </si>
  <si>
    <t xml:space="preserve">State</t>
  </si>
  <si>
    <t xml:space="preserve">1</t>
  </si>
  <si>
    <t xml:space="preserve">If this has not yet been saved by its owner</t>
  </si>
  <si>
    <t xml:space="preserve">Set until the owner saves the stream; default 1.</t>
  </si>
  <si>
    <t xml:space="preserve">Where the filter IDs are defined</t>
  </si>
  <si>
    <t xml:space="preserve">Key types read from schema.json; core_members is an external stub with an assumed key type.</t>
  </si>
  <si>
    <t xml:space="preserve">Key column</t>
  </si>
  <si>
    <t xml:space="preserve">Key type</t>
  </si>
  <si>
    <t xml:space="preserve">Referenced by</t>
  </si>
  <si>
    <t xml:space="preserve">Where defined</t>
  </si>
  <si>
    <t xml:space="preserve">Seed rows in export</t>
  </si>
  <si>
    <t xml:space="preserve">Department names are in dpt_name.</t>
  </si>
  <si>
    <t xml:space="preserve">INT(5)</t>
  </si>
  <si>
    <t xml:space="preserve">The seed rows in the export have status_name set to NULL, so real names are not visible in this file.</t>
  </si>
  <si>
    <t xml:space="preserve">One seed row (sev_id 1) with sev_name NULL.</t>
  </si>
  <si>
    <t xml:space="preserve">BIGINT(20) UNSIGNED (assumed)</t>
  </si>
  <si>
    <t xml:space="preserve">stream_staff (list) and stream_owner (single value)</t>
  </si>
  <si>
    <t xml:space="preserve">Invision core, outside schema.json</t>
  </si>
  <si>
    <t xml:space="preserve">n/a</t>
  </si>
  <si>
    <t xml:space="preserve">Staff are ordinary members; which members count as support staff is controlled by group permissions, also outside this file.</t>
  </si>
  <si>
    <t xml:space="preserve">Summary, assumptions and how to read the real values once the database is available.</t>
  </si>
  <si>
    <t xml:space="preserve">Column roles in nexus_support_streams (counts calculated from the All columns sheet)</t>
  </si>
  <si>
    <t xml:space="preserve">Columns</t>
  </si>
  <si>
    <t xml:space="preserve">Total</t>
  </si>
  <si>
    <t xml:space="preserve">Check: columns listed</t>
  </si>
  <si>
    <t xml:space="preserve">Key points</t>
  </si>
  <si>
    <t xml:space="preserve">These columns are filters, not allowed-value definitions: each stream says "show only requests matching these IDs".</t>
  </si>
  <si>
    <t xml:space="preserve">The IDs refer to rows in other database tables. Three are in this schema; stream_staff points to core_members in Invision core.</t>
  </si>
  <si>
    <t xml:space="preserve">NULL in any of the four columns means "all" (no restriction), per the schema comments.</t>
  </si>
  <si>
    <t xml:space="preserve">Because the lists are text, the database cannot check them. Deleting a department, status, severity or member can leave stale IDs in saved streams; only application code handles that.</t>
  </si>
  <si>
    <t xml:space="preserve">The schema file holds structure only. To see the actual values, read the source tables once database access is available.</t>
  </si>
  <si>
    <t xml:space="preserve">Assumptions</t>
  </si>
  <si>
    <t xml:space="preserve">Relationships are inferred (the schema declares no foreign keys); the owner accepted them as correct pending database access.</t>
  </si>
  <si>
    <t xml:space="preserve">core_members.member_id is assumed BIGINT UNSIGNED, based on many columns that reference it.</t>
  </si>
  <si>
    <t xml:space="preserve">stream_tracked relating to nexus_support_tracker is inferred from its comment, not documented.</t>
  </si>
  <si>
    <t xml:space="preserve">Example query to decode one filter (untested; needs database access; assumes IDs are comma-separated without spaces)</t>
  </si>
  <si>
    <t xml:space="preserve">SELECT s.stream_id, s.stream_title, d.dpt_id, d.dpt_name FROM nexus_support_streams s JOIN nexus_support_departments d ON FIND_IN_SET(d.dpt_id, s.stream_departments);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</si>
</sst>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Courier Ne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32"/>
    <col collapsed="false" customWidth="true" hidden="false" outlineLevel="0" max="5" min="5" style="0" width="27"/>
    <col collapsed="false" customWidth="true" hidden="false" outlineLevel="0" max="6" min="6" style="0" width="12"/>
    <col collapsed="false" customWidth="true" hidden="false" outlineLevel="0" max="7" min="7" style="0" width="28"/>
    <col collapsed="false" customWidth="true" hidden="false" outlineLevel="0" max="9" min="8" style="0" width="22"/>
    <col collapsed="false" customWidth="true" hidden="false" outlineLevel="0" max="10" min="10" style="0" width="46"/>
    <col collapsed="false" customWidth="true" hidden="false" outlineLevel="0" max="11" min="11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57.75" hidden="false" customHeight="true" outlineLevel="0" collapsed="false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4" t="s">
        <v>22</v>
      </c>
      <c r="K5" s="4" t="s">
        <v>23</v>
      </c>
    </row>
    <row r="6" customFormat="false" ht="57.75" hidden="false" customHeight="true" outlineLevel="0" collapsed="false">
      <c r="A6" s="4" t="s">
        <v>24</v>
      </c>
      <c r="B6" s="4" t="s">
        <v>14</v>
      </c>
      <c r="C6" s="4" t="s">
        <v>15</v>
      </c>
      <c r="D6" s="4" t="s">
        <v>25</v>
      </c>
      <c r="E6" s="4" t="s">
        <v>26</v>
      </c>
      <c r="F6" s="4" t="s">
        <v>27</v>
      </c>
      <c r="G6" s="4" t="s">
        <v>19</v>
      </c>
      <c r="H6" s="4" t="s">
        <v>20</v>
      </c>
      <c r="I6" s="4" t="s">
        <v>21</v>
      </c>
      <c r="J6" s="4" t="s">
        <v>28</v>
      </c>
      <c r="K6" s="4" t="s">
        <v>23</v>
      </c>
    </row>
    <row r="7" customFormat="false" ht="57.75" hidden="false" customHeight="true" outlineLevel="0" collapsed="false">
      <c r="A7" s="4" t="s">
        <v>29</v>
      </c>
      <c r="B7" s="4" t="s">
        <v>14</v>
      </c>
      <c r="C7" s="4" t="s">
        <v>15</v>
      </c>
      <c r="D7" s="4" t="s">
        <v>30</v>
      </c>
      <c r="E7" s="4" t="s">
        <v>31</v>
      </c>
      <c r="F7" s="4" t="s">
        <v>32</v>
      </c>
      <c r="G7" s="4" t="s">
        <v>19</v>
      </c>
      <c r="H7" s="4" t="s">
        <v>20</v>
      </c>
      <c r="I7" s="4" t="s">
        <v>21</v>
      </c>
      <c r="J7" s="4" t="s">
        <v>33</v>
      </c>
      <c r="K7" s="4" t="s">
        <v>23</v>
      </c>
    </row>
    <row r="8" customFormat="false" ht="57.75" hidden="false" customHeight="true" outlineLevel="0" collapsed="false">
      <c r="A8" s="4" t="s">
        <v>34</v>
      </c>
      <c r="B8" s="4" t="s">
        <v>14</v>
      </c>
      <c r="C8" s="4" t="s">
        <v>15</v>
      </c>
      <c r="D8" s="4" t="s">
        <v>35</v>
      </c>
      <c r="E8" s="4" t="s">
        <v>36</v>
      </c>
      <c r="F8" s="4" t="s">
        <v>37</v>
      </c>
      <c r="G8" s="4" t="s">
        <v>38</v>
      </c>
      <c r="H8" s="4" t="s">
        <v>20</v>
      </c>
      <c r="I8" s="4" t="s">
        <v>21</v>
      </c>
      <c r="J8" s="4" t="s">
        <v>39</v>
      </c>
      <c r="K8" s="4" t="s">
        <v>23</v>
      </c>
    </row>
    <row r="10" customFormat="false" ht="15" hidden="false" customHeight="false" outlineLevel="0" collapsed="false">
      <c r="A10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7" min="7" style="0" width="62"/>
    <col collapsed="false" customWidth="true" hidden="false" outlineLevel="0" max="8" min="8" style="0" width="52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43</v>
      </c>
      <c r="D4" s="3" t="s">
        <v>4</v>
      </c>
      <c r="E4" s="3" t="s">
        <v>44</v>
      </c>
      <c r="F4" s="3" t="s">
        <v>45</v>
      </c>
      <c r="G4" s="3" t="s">
        <v>11</v>
      </c>
      <c r="H4" s="3" t="s">
        <v>46</v>
      </c>
    </row>
    <row r="5" customFormat="false" ht="23.85" hidden="false" customHeight="false" outlineLevel="0" collapsed="false">
      <c r="A5" s="4" t="s">
        <v>47</v>
      </c>
      <c r="B5" s="4" t="s">
        <v>48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/>
    </row>
    <row r="6" customFormat="false" ht="15" hidden="false" customHeight="false" outlineLevel="0" collapsed="false">
      <c r="A6" s="4" t="s">
        <v>13</v>
      </c>
      <c r="B6" s="4" t="s">
        <v>14</v>
      </c>
      <c r="C6" s="4" t="s">
        <v>54</v>
      </c>
      <c r="D6" s="4" t="s">
        <v>15</v>
      </c>
      <c r="E6" s="4" t="s">
        <v>55</v>
      </c>
      <c r="F6" s="4" t="s">
        <v>56</v>
      </c>
      <c r="G6" s="4" t="s">
        <v>22</v>
      </c>
      <c r="H6" s="4"/>
    </row>
    <row r="7" customFormat="false" ht="15" hidden="false" customHeight="false" outlineLevel="0" collapsed="false">
      <c r="A7" s="4" t="s">
        <v>24</v>
      </c>
      <c r="B7" s="4" t="s">
        <v>14</v>
      </c>
      <c r="C7" s="4" t="s">
        <v>54</v>
      </c>
      <c r="D7" s="4" t="s">
        <v>15</v>
      </c>
      <c r="E7" s="4" t="s">
        <v>55</v>
      </c>
      <c r="F7" s="4" t="s">
        <v>57</v>
      </c>
      <c r="G7" s="4" t="s">
        <v>28</v>
      </c>
      <c r="H7" s="4"/>
    </row>
    <row r="8" customFormat="false" ht="15" hidden="false" customHeight="false" outlineLevel="0" collapsed="false">
      <c r="A8" s="4" t="s">
        <v>29</v>
      </c>
      <c r="B8" s="4" t="s">
        <v>14</v>
      </c>
      <c r="C8" s="4" t="s">
        <v>54</v>
      </c>
      <c r="D8" s="4" t="s">
        <v>15</v>
      </c>
      <c r="E8" s="4" t="s">
        <v>55</v>
      </c>
      <c r="F8" s="4" t="s">
        <v>58</v>
      </c>
      <c r="G8" s="4" t="s">
        <v>33</v>
      </c>
      <c r="H8" s="4"/>
    </row>
    <row r="9" customFormat="false" ht="15" hidden="false" customHeight="false" outlineLevel="0" collapsed="false">
      <c r="A9" s="4" t="s">
        <v>34</v>
      </c>
      <c r="B9" s="4" t="s">
        <v>14</v>
      </c>
      <c r="C9" s="4" t="s">
        <v>54</v>
      </c>
      <c r="D9" s="4" t="s">
        <v>15</v>
      </c>
      <c r="E9" s="4" t="s">
        <v>55</v>
      </c>
      <c r="F9" s="4" t="s">
        <v>59</v>
      </c>
      <c r="G9" s="4" t="s">
        <v>39</v>
      </c>
      <c r="H9" s="4"/>
    </row>
    <row r="10" customFormat="false" ht="15" hidden="false" customHeight="false" outlineLevel="0" collapsed="false">
      <c r="A10" s="4" t="s">
        <v>60</v>
      </c>
      <c r="B10" s="4" t="s">
        <v>61</v>
      </c>
      <c r="C10" s="4" t="s">
        <v>62</v>
      </c>
      <c r="D10" s="4" t="s">
        <v>15</v>
      </c>
      <c r="E10" s="4" t="s">
        <v>55</v>
      </c>
      <c r="F10" s="4" t="s">
        <v>63</v>
      </c>
      <c r="G10" s="4" t="s">
        <v>64</v>
      </c>
      <c r="H10" s="4" t="s">
        <v>65</v>
      </c>
    </row>
    <row r="11" customFormat="false" ht="15" hidden="false" customHeight="false" outlineLevel="0" collapsed="false">
      <c r="A11" s="4" t="s">
        <v>66</v>
      </c>
      <c r="B11" s="4" t="s">
        <v>61</v>
      </c>
      <c r="C11" s="4" t="s">
        <v>62</v>
      </c>
      <c r="D11" s="4" t="s">
        <v>15</v>
      </c>
      <c r="E11" s="4" t="s">
        <v>55</v>
      </c>
      <c r="F11" s="4" t="s">
        <v>63</v>
      </c>
      <c r="G11" s="4" t="s">
        <v>67</v>
      </c>
      <c r="H11" s="4" t="s">
        <v>68</v>
      </c>
    </row>
    <row r="12" customFormat="false" ht="23.85" hidden="false" customHeight="false" outlineLevel="0" collapsed="false">
      <c r="A12" s="4" t="s">
        <v>69</v>
      </c>
      <c r="B12" s="4" t="s">
        <v>70</v>
      </c>
      <c r="C12" s="4" t="s">
        <v>71</v>
      </c>
      <c r="D12" s="4" t="s">
        <v>15</v>
      </c>
      <c r="E12" s="4" t="s">
        <v>55</v>
      </c>
      <c r="F12" s="4" t="s">
        <v>63</v>
      </c>
      <c r="G12" s="4" t="s">
        <v>72</v>
      </c>
      <c r="H12" s="4" t="s">
        <v>73</v>
      </c>
    </row>
    <row r="13" customFormat="false" ht="23.85" hidden="false" customHeight="false" outlineLevel="0" collapsed="false">
      <c r="A13" s="4" t="s">
        <v>74</v>
      </c>
      <c r="B13" s="4" t="s">
        <v>70</v>
      </c>
      <c r="C13" s="4" t="s">
        <v>71</v>
      </c>
      <c r="D13" s="4" t="s">
        <v>15</v>
      </c>
      <c r="E13" s="4" t="s">
        <v>55</v>
      </c>
      <c r="F13" s="4" t="s">
        <v>63</v>
      </c>
      <c r="G13" s="4" t="s">
        <v>75</v>
      </c>
      <c r="H13" s="4" t="s">
        <v>73</v>
      </c>
    </row>
    <row r="14" customFormat="false" ht="23.85" hidden="false" customHeight="false" outlineLevel="0" collapsed="false">
      <c r="A14" s="4" t="s">
        <v>76</v>
      </c>
      <c r="B14" s="4" t="s">
        <v>70</v>
      </c>
      <c r="C14" s="4" t="s">
        <v>71</v>
      </c>
      <c r="D14" s="4" t="s">
        <v>15</v>
      </c>
      <c r="E14" s="4" t="s">
        <v>55</v>
      </c>
      <c r="F14" s="4" t="s">
        <v>63</v>
      </c>
      <c r="G14" s="4" t="s">
        <v>77</v>
      </c>
      <c r="H14" s="4" t="s">
        <v>73</v>
      </c>
    </row>
    <row r="15" customFormat="false" ht="23.85" hidden="false" customHeight="false" outlineLevel="0" collapsed="false">
      <c r="A15" s="4" t="s">
        <v>78</v>
      </c>
      <c r="B15" s="4" t="s">
        <v>48</v>
      </c>
      <c r="C15" s="4" t="s">
        <v>79</v>
      </c>
      <c r="D15" s="4" t="s">
        <v>15</v>
      </c>
      <c r="E15" s="4" t="s">
        <v>80</v>
      </c>
      <c r="F15" s="4" t="s">
        <v>81</v>
      </c>
      <c r="G15" s="4" t="s">
        <v>82</v>
      </c>
      <c r="H15" s="4" t="s">
        <v>83</v>
      </c>
    </row>
    <row r="16" customFormat="false" ht="15" hidden="false" customHeight="false" outlineLevel="0" collapsed="false">
      <c r="A16" s="4" t="s">
        <v>84</v>
      </c>
      <c r="B16" s="4" t="s">
        <v>85</v>
      </c>
      <c r="C16" s="4" t="s">
        <v>86</v>
      </c>
      <c r="D16" s="4" t="s">
        <v>15</v>
      </c>
      <c r="E16" s="4" t="s">
        <v>80</v>
      </c>
      <c r="F16" s="4" t="s">
        <v>63</v>
      </c>
      <c r="G16" s="4" t="s">
        <v>87</v>
      </c>
      <c r="H16" s="4" t="s">
        <v>88</v>
      </c>
    </row>
    <row r="17" customFormat="false" ht="23.85" hidden="false" customHeight="false" outlineLevel="0" collapsed="false">
      <c r="A17" s="4" t="s">
        <v>89</v>
      </c>
      <c r="B17" s="4" t="s">
        <v>70</v>
      </c>
      <c r="C17" s="4" t="s">
        <v>71</v>
      </c>
      <c r="D17" s="4" t="s">
        <v>15</v>
      </c>
      <c r="E17" s="4" t="s">
        <v>55</v>
      </c>
      <c r="F17" s="4" t="s">
        <v>63</v>
      </c>
      <c r="G17" s="4" t="s">
        <v>90</v>
      </c>
      <c r="H17" s="4" t="s">
        <v>91</v>
      </c>
    </row>
    <row r="18" customFormat="false" ht="23.85" hidden="false" customHeight="false" outlineLevel="0" collapsed="false">
      <c r="A18" s="4" t="s">
        <v>92</v>
      </c>
      <c r="B18" s="4" t="s">
        <v>93</v>
      </c>
      <c r="C18" s="4" t="s">
        <v>94</v>
      </c>
      <c r="D18" s="4" t="s">
        <v>50</v>
      </c>
      <c r="E18" s="4" t="s">
        <v>80</v>
      </c>
      <c r="F18" s="4" t="s">
        <v>95</v>
      </c>
      <c r="G18" s="4" t="s">
        <v>96</v>
      </c>
      <c r="H18" s="4" t="s">
        <v>97</v>
      </c>
    </row>
    <row r="19" customFormat="false" ht="15" hidden="false" customHeight="false" outlineLevel="0" collapsed="false">
      <c r="A19" s="4" t="s">
        <v>98</v>
      </c>
      <c r="B19" s="4" t="s">
        <v>61</v>
      </c>
      <c r="C19" s="4" t="s">
        <v>86</v>
      </c>
      <c r="D19" s="4" t="s">
        <v>50</v>
      </c>
      <c r="E19" s="4" t="s">
        <v>99</v>
      </c>
      <c r="F19" s="4" t="s">
        <v>63</v>
      </c>
      <c r="G19" s="4" t="s">
        <v>100</v>
      </c>
      <c r="H19" s="4" t="s">
        <v>101</v>
      </c>
    </row>
    <row r="20" customFormat="false" ht="15" hidden="false" customHeight="false" outlineLevel="0" collapsed="false">
      <c r="A20" s="4" t="s">
        <v>102</v>
      </c>
      <c r="B20" s="4" t="s">
        <v>93</v>
      </c>
      <c r="C20" s="4" t="s">
        <v>103</v>
      </c>
      <c r="D20" s="4" t="s">
        <v>50</v>
      </c>
      <c r="E20" s="4" t="s">
        <v>104</v>
      </c>
      <c r="F20" s="4" t="s">
        <v>63</v>
      </c>
      <c r="G20" s="4" t="s">
        <v>105</v>
      </c>
      <c r="H20" s="4" t="s">
        <v>106</v>
      </c>
    </row>
  </sheetData>
  <autoFilter ref="A4:H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66"/>
  </cols>
  <sheetData>
    <row r="1" customFormat="false" ht="17.3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4" customFormat="false" ht="23.85" hidden="false" customHeight="false" outlineLevel="0" collapsed="false">
      <c r="A4" s="3" t="s">
        <v>6</v>
      </c>
      <c r="B4" s="3" t="s">
        <v>109</v>
      </c>
      <c r="C4" s="3" t="s">
        <v>110</v>
      </c>
      <c r="D4" s="3" t="s">
        <v>111</v>
      </c>
      <c r="E4" s="3" t="s">
        <v>112</v>
      </c>
      <c r="F4" s="3" t="s">
        <v>113</v>
      </c>
      <c r="G4" s="3" t="s">
        <v>46</v>
      </c>
    </row>
    <row r="5" customFormat="false" ht="15" hidden="false" customHeight="false" outlineLevel="0" collapsed="false">
      <c r="A5" s="4" t="s">
        <v>17</v>
      </c>
      <c r="B5" s="4" t="s">
        <v>18</v>
      </c>
      <c r="C5" s="4" t="s">
        <v>85</v>
      </c>
      <c r="D5" s="4" t="s">
        <v>13</v>
      </c>
      <c r="E5" s="4" t="s">
        <v>19</v>
      </c>
      <c r="F5" s="4" t="n">
        <v>0</v>
      </c>
      <c r="G5" s="4" t="s">
        <v>114</v>
      </c>
    </row>
    <row r="6" customFormat="false" ht="23.85" hidden="false" customHeight="false" outlineLevel="0" collapsed="false">
      <c r="A6" s="4" t="s">
        <v>26</v>
      </c>
      <c r="B6" s="4" t="s">
        <v>27</v>
      </c>
      <c r="C6" s="4" t="s">
        <v>115</v>
      </c>
      <c r="D6" s="4" t="s">
        <v>24</v>
      </c>
      <c r="E6" s="4" t="s">
        <v>19</v>
      </c>
      <c r="F6" s="4" t="n">
        <v>6</v>
      </c>
      <c r="G6" s="4" t="s">
        <v>116</v>
      </c>
    </row>
    <row r="7" customFormat="false" ht="15" hidden="false" customHeight="false" outlineLevel="0" collapsed="false">
      <c r="A7" s="4" t="s">
        <v>31</v>
      </c>
      <c r="B7" s="4" t="s">
        <v>32</v>
      </c>
      <c r="C7" s="4" t="s">
        <v>115</v>
      </c>
      <c r="D7" s="4" t="s">
        <v>29</v>
      </c>
      <c r="E7" s="4" t="s">
        <v>19</v>
      </c>
      <c r="F7" s="4" t="n">
        <v>1</v>
      </c>
      <c r="G7" s="4" t="s">
        <v>117</v>
      </c>
    </row>
    <row r="8" customFormat="false" ht="23.85" hidden="false" customHeight="false" outlineLevel="0" collapsed="false">
      <c r="A8" s="4" t="s">
        <v>36</v>
      </c>
      <c r="B8" s="4" t="s">
        <v>37</v>
      </c>
      <c r="C8" s="4" t="s">
        <v>118</v>
      </c>
      <c r="D8" s="4" t="s">
        <v>119</v>
      </c>
      <c r="E8" s="4" t="s">
        <v>120</v>
      </c>
      <c r="F8" s="4" t="s">
        <v>121</v>
      </c>
      <c r="G8" s="4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123</v>
      </c>
    </row>
    <row r="4" customFormat="false" ht="15" hidden="false" customHeight="false" outlineLevel="0" collapsed="false">
      <c r="A4" s="5" t="s">
        <v>124</v>
      </c>
    </row>
    <row r="5" customFormat="false" ht="15" hidden="false" customHeight="false" outlineLevel="0" collapsed="false">
      <c r="A5" s="6" t="s">
        <v>43</v>
      </c>
      <c r="B5" s="6" t="s">
        <v>125</v>
      </c>
    </row>
    <row r="6" customFormat="false" ht="15" hidden="false" customHeight="false" outlineLevel="0" collapsed="false">
      <c r="A6" s="7" t="s">
        <v>49</v>
      </c>
      <c r="B6" s="7" t="n">
        <f aca="false">COUNTIF('All columns'!$C$5:$C$20,A6)</f>
        <v>1</v>
      </c>
    </row>
    <row r="7" customFormat="false" ht="15" hidden="false" customHeight="false" outlineLevel="0" collapsed="false">
      <c r="A7" s="7" t="s">
        <v>54</v>
      </c>
      <c r="B7" s="7" t="n">
        <f aca="false">COUNTIF('All columns'!$C$5:$C$20,A7)</f>
        <v>4</v>
      </c>
    </row>
    <row r="8" customFormat="false" ht="15" hidden="false" customHeight="false" outlineLevel="0" collapsed="false">
      <c r="A8" s="7" t="s">
        <v>62</v>
      </c>
      <c r="B8" s="7" t="n">
        <f aca="false">COUNTIF('All columns'!$C$5:$C$20,A8)</f>
        <v>2</v>
      </c>
    </row>
    <row r="9" customFormat="false" ht="15" hidden="false" customHeight="false" outlineLevel="0" collapsed="false">
      <c r="A9" s="7" t="s">
        <v>71</v>
      </c>
      <c r="B9" s="7" t="n">
        <f aca="false">COUNTIF('All columns'!$C$5:$C$20,A9)</f>
        <v>4</v>
      </c>
    </row>
    <row r="10" customFormat="false" ht="15" hidden="false" customHeight="false" outlineLevel="0" collapsed="false">
      <c r="A10" s="7" t="s">
        <v>94</v>
      </c>
      <c r="B10" s="7" t="n">
        <f aca="false">COUNTIF('All columns'!$C$5:$C$20,A10)</f>
        <v>1</v>
      </c>
    </row>
    <row r="11" customFormat="false" ht="15" hidden="false" customHeight="false" outlineLevel="0" collapsed="false">
      <c r="A11" s="7" t="s">
        <v>79</v>
      </c>
      <c r="B11" s="7" t="n">
        <f aca="false">COUNTIF('All columns'!$C$5:$C$20,A11)</f>
        <v>1</v>
      </c>
    </row>
    <row r="12" customFormat="false" ht="15" hidden="false" customHeight="false" outlineLevel="0" collapsed="false">
      <c r="A12" s="7" t="s">
        <v>86</v>
      </c>
      <c r="B12" s="7" t="n">
        <f aca="false">COUNTIF('All columns'!$C$5:$C$20,A12)</f>
        <v>2</v>
      </c>
    </row>
    <row r="13" customFormat="false" ht="15" hidden="false" customHeight="false" outlineLevel="0" collapsed="false">
      <c r="A13" s="7" t="s">
        <v>103</v>
      </c>
      <c r="B13" s="7" t="n">
        <f aca="false">COUNTIF('All columns'!$C$5:$C$20,A13)</f>
        <v>1</v>
      </c>
    </row>
    <row r="14" customFormat="false" ht="15" hidden="false" customHeight="false" outlineLevel="0" collapsed="false">
      <c r="A14" s="5" t="s">
        <v>126</v>
      </c>
      <c r="B14" s="5" t="n">
        <f aca="false">SUM(B6:B13)</f>
        <v>16</v>
      </c>
    </row>
    <row r="15" customFormat="false" ht="15" hidden="false" customHeight="false" outlineLevel="0" collapsed="false">
      <c r="A15" s="8" t="s">
        <v>127</v>
      </c>
      <c r="B15" s="8" t="n">
        <f aca="false">COUNTA('All columns'!$A$5:$A$20)</f>
        <v>16</v>
      </c>
    </row>
    <row r="17" customFormat="false" ht="15" hidden="false" customHeight="false" outlineLevel="0" collapsed="false">
      <c r="A17" s="5" t="s">
        <v>128</v>
      </c>
    </row>
    <row r="18" customFormat="false" ht="30" hidden="false" customHeight="true" outlineLevel="0" collapsed="false">
      <c r="A18" s="9" t="s">
        <v>129</v>
      </c>
      <c r="B18" s="9"/>
      <c r="C18" s="9"/>
    </row>
    <row r="19" customFormat="false" ht="30" hidden="false" customHeight="true" outlineLevel="0" collapsed="false">
      <c r="A19" s="9" t="s">
        <v>130</v>
      </c>
      <c r="B19" s="9"/>
      <c r="C19" s="9"/>
    </row>
    <row r="20" customFormat="false" ht="30" hidden="false" customHeight="true" outlineLevel="0" collapsed="false">
      <c r="A20" s="9" t="s">
        <v>131</v>
      </c>
      <c r="B20" s="9"/>
      <c r="C20" s="9"/>
    </row>
    <row r="21" customFormat="false" ht="30" hidden="false" customHeight="true" outlineLevel="0" collapsed="false">
      <c r="A21" s="9" t="s">
        <v>132</v>
      </c>
      <c r="B21" s="9"/>
      <c r="C21" s="9"/>
    </row>
    <row r="22" customFormat="false" ht="30" hidden="false" customHeight="true" outlineLevel="0" collapsed="false">
      <c r="A22" s="9" t="s">
        <v>133</v>
      </c>
      <c r="B22" s="9"/>
      <c r="C22" s="9"/>
    </row>
    <row r="24" customFormat="false" ht="15" hidden="false" customHeight="false" outlineLevel="0" collapsed="false">
      <c r="A24" s="5" t="s">
        <v>134</v>
      </c>
    </row>
    <row r="25" customFormat="false" ht="30" hidden="false" customHeight="true" outlineLevel="0" collapsed="false">
      <c r="A25" s="9" t="s">
        <v>135</v>
      </c>
      <c r="B25" s="9"/>
      <c r="C25" s="9"/>
    </row>
    <row r="26" customFormat="false" ht="30" hidden="false" customHeight="true" outlineLevel="0" collapsed="false">
      <c r="A26" s="9" t="s">
        <v>136</v>
      </c>
      <c r="B26" s="9"/>
      <c r="C26" s="9"/>
    </row>
    <row r="27" customFormat="false" ht="30" hidden="false" customHeight="true" outlineLevel="0" collapsed="false">
      <c r="A27" s="9" t="s">
        <v>137</v>
      </c>
      <c r="B27" s="9"/>
      <c r="C27" s="9"/>
    </row>
    <row r="29" customFormat="false" ht="15" hidden="false" customHeight="false" outlineLevel="0" collapsed="false">
      <c r="A29" s="5" t="s">
        <v>138</v>
      </c>
    </row>
    <row r="30" customFormat="false" ht="42" hidden="false" customHeight="true" outlineLevel="0" collapsed="false">
      <c r="A30" s="10" t="s">
        <v>139</v>
      </c>
      <c r="B30" s="10"/>
      <c r="C30" s="10"/>
    </row>
  </sheetData>
  <mergeCells count="9">
    <mergeCell ref="A18:C18"/>
    <mergeCell ref="A19:C19"/>
    <mergeCell ref="A20:C20"/>
    <mergeCell ref="A21:C21"/>
    <mergeCell ref="A22:C22"/>
    <mergeCell ref="A25:C25"/>
    <mergeCell ref="A26:C26"/>
    <mergeCell ref="A27:C27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2026-10-02T13:26:10Z</dcterms:created>
  <dc:creator>openpyxl</dc:creator>
  <dc:description/>
  <dc:language>en-US</dc:language>
  <cp:lastModifiedBy/>
  <dcterms:modified xsi:type="dcterms:W3CDTF">2026-10-02T13:26:10Z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